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127"/>
  <workbookPr date1904="1" showInkAnnotation="0" autoCompressPictures="0"/>
  <bookViews>
    <workbookView xWindow="1040" yWindow="420" windowWidth="25600" windowHeight="19020" tabRatio="500"/>
  </bookViews>
  <sheets>
    <sheet name="peer-popm3.c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3" i="1" l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42" i="1"/>
  <c r="E35" i="1"/>
  <c r="E36" i="1"/>
  <c r="E37" i="1"/>
  <c r="E38" i="1"/>
  <c r="E39" i="1"/>
  <c r="E40" i="1"/>
  <c r="E4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4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" i="1"/>
  <c r="D3" i="1"/>
  <c r="D2" i="1"/>
</calcChain>
</file>

<file path=xl/sharedStrings.xml><?xml version="1.0" encoding="utf-8"?>
<sst xmlns="http://schemas.openxmlformats.org/spreadsheetml/2006/main" count="5" uniqueCount="5">
  <si>
    <t>x</t>
  </si>
  <si>
    <t>Peer-popularity strategy</t>
  </si>
  <si>
    <t>peer-similarity strategy</t>
  </si>
  <si>
    <t>Best Case Strategy</t>
  </si>
  <si>
    <t>Worst Case Strategy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</si>
</sst>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'peer-popm3.csv'!$B$1</c:f>
              <c:strCache>
                <c:ptCount val="1"/>
                <c:pt idx="0">
                  <c:v>Peer-popularity strategy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5"/>
            <c:spPr>
              <a:noFill/>
            </c:spPr>
          </c:marker>
          <c:val>
            <c:numRef>
              <c:f>'peer-popm3.csv'!$B$2:$B$94</c:f>
              <c:numCache>
                <c:formatCode>General</c:formatCode>
                <c:ptCount val="93"/>
                <c:pt idx="0">
                  <c:v>1.94</c:v>
                </c:pt>
                <c:pt idx="1">
                  <c:v>4.24</c:v>
                </c:pt>
                <c:pt idx="2">
                  <c:v>5.46</c:v>
                </c:pt>
                <c:pt idx="3">
                  <c:v>7.36</c:v>
                </c:pt>
                <c:pt idx="4">
                  <c:v>9.66</c:v>
                </c:pt>
                <c:pt idx="5">
                  <c:v>11.36</c:v>
                </c:pt>
                <c:pt idx="6">
                  <c:v>14.9</c:v>
                </c:pt>
                <c:pt idx="7">
                  <c:v>16.44</c:v>
                </c:pt>
                <c:pt idx="8">
                  <c:v>19.98</c:v>
                </c:pt>
                <c:pt idx="9">
                  <c:v>22.16</c:v>
                </c:pt>
                <c:pt idx="10">
                  <c:v>23.86</c:v>
                </c:pt>
                <c:pt idx="11">
                  <c:v>26.0</c:v>
                </c:pt>
                <c:pt idx="12">
                  <c:v>28.46</c:v>
                </c:pt>
                <c:pt idx="13">
                  <c:v>31.08</c:v>
                </c:pt>
                <c:pt idx="14">
                  <c:v>34.14</c:v>
                </c:pt>
                <c:pt idx="15">
                  <c:v>36.68</c:v>
                </c:pt>
                <c:pt idx="16">
                  <c:v>40.14</c:v>
                </c:pt>
                <c:pt idx="17">
                  <c:v>42.92</c:v>
                </c:pt>
                <c:pt idx="18">
                  <c:v>45.42</c:v>
                </c:pt>
                <c:pt idx="19">
                  <c:v>46.92</c:v>
                </c:pt>
                <c:pt idx="20">
                  <c:v>49.26</c:v>
                </c:pt>
                <c:pt idx="21">
                  <c:v>50.84</c:v>
                </c:pt>
                <c:pt idx="22">
                  <c:v>53.54</c:v>
                </c:pt>
                <c:pt idx="23">
                  <c:v>56.64</c:v>
                </c:pt>
                <c:pt idx="24">
                  <c:v>58.9</c:v>
                </c:pt>
                <c:pt idx="25">
                  <c:v>62.28</c:v>
                </c:pt>
                <c:pt idx="26">
                  <c:v>64.74</c:v>
                </c:pt>
                <c:pt idx="27">
                  <c:v>67.04</c:v>
                </c:pt>
                <c:pt idx="28">
                  <c:v>69.42</c:v>
                </c:pt>
                <c:pt idx="29">
                  <c:v>71.88</c:v>
                </c:pt>
                <c:pt idx="30">
                  <c:v>73.94</c:v>
                </c:pt>
                <c:pt idx="31">
                  <c:v>76.56</c:v>
                </c:pt>
                <c:pt idx="32">
                  <c:v>78.7</c:v>
                </c:pt>
                <c:pt idx="33">
                  <c:v>81.16</c:v>
                </c:pt>
                <c:pt idx="34">
                  <c:v>84.18000000000001</c:v>
                </c:pt>
                <c:pt idx="35">
                  <c:v>86.72</c:v>
                </c:pt>
                <c:pt idx="36">
                  <c:v>88.74</c:v>
                </c:pt>
                <c:pt idx="37">
                  <c:v>91.2</c:v>
                </c:pt>
                <c:pt idx="38">
                  <c:v>93.34</c:v>
                </c:pt>
                <c:pt idx="39">
                  <c:v>95.92</c:v>
                </c:pt>
                <c:pt idx="40">
                  <c:v>98.7</c:v>
                </c:pt>
                <c:pt idx="41">
                  <c:v>101.12</c:v>
                </c:pt>
                <c:pt idx="42">
                  <c:v>103.3</c:v>
                </c:pt>
                <c:pt idx="43">
                  <c:v>105.84</c:v>
                </c:pt>
                <c:pt idx="44">
                  <c:v>107.22</c:v>
                </c:pt>
                <c:pt idx="45">
                  <c:v>109.84</c:v>
                </c:pt>
                <c:pt idx="46">
                  <c:v>111.7</c:v>
                </c:pt>
                <c:pt idx="47">
                  <c:v>114.72</c:v>
                </c:pt>
                <c:pt idx="48">
                  <c:v>116.98</c:v>
                </c:pt>
                <c:pt idx="49">
                  <c:v>119.56</c:v>
                </c:pt>
                <c:pt idx="50">
                  <c:v>122.74</c:v>
                </c:pt>
                <c:pt idx="51">
                  <c:v>125.0</c:v>
                </c:pt>
                <c:pt idx="52">
                  <c:v>128.14</c:v>
                </c:pt>
                <c:pt idx="53">
                  <c:v>131.28</c:v>
                </c:pt>
                <c:pt idx="54">
                  <c:v>134.46</c:v>
                </c:pt>
                <c:pt idx="55">
                  <c:v>136.8</c:v>
                </c:pt>
                <c:pt idx="56">
                  <c:v>139.02</c:v>
                </c:pt>
                <c:pt idx="57">
                  <c:v>140.92</c:v>
                </c:pt>
                <c:pt idx="58">
                  <c:v>143.54</c:v>
                </c:pt>
                <c:pt idx="59">
                  <c:v>146.48</c:v>
                </c:pt>
                <c:pt idx="60">
                  <c:v>148.26</c:v>
                </c:pt>
                <c:pt idx="61">
                  <c:v>151.28</c:v>
                </c:pt>
                <c:pt idx="62">
                  <c:v>151.28</c:v>
                </c:pt>
                <c:pt idx="63">
                  <c:v>154.62</c:v>
                </c:pt>
                <c:pt idx="64">
                  <c:v>156.72</c:v>
                </c:pt>
                <c:pt idx="65">
                  <c:v>159.34</c:v>
                </c:pt>
                <c:pt idx="66">
                  <c:v>159.34</c:v>
                </c:pt>
                <c:pt idx="67">
                  <c:v>162.2</c:v>
                </c:pt>
                <c:pt idx="68">
                  <c:v>165.38</c:v>
                </c:pt>
                <c:pt idx="69">
                  <c:v>168.32</c:v>
                </c:pt>
                <c:pt idx="70">
                  <c:v>170.06</c:v>
                </c:pt>
                <c:pt idx="71">
                  <c:v>172.76</c:v>
                </c:pt>
                <c:pt idx="72">
                  <c:v>175.3</c:v>
                </c:pt>
                <c:pt idx="73">
                  <c:v>178.12</c:v>
                </c:pt>
                <c:pt idx="74">
                  <c:v>181.02</c:v>
                </c:pt>
                <c:pt idx="75">
                  <c:v>183.4</c:v>
                </c:pt>
                <c:pt idx="76">
                  <c:v>186.02</c:v>
                </c:pt>
                <c:pt idx="77">
                  <c:v>186.02</c:v>
                </c:pt>
                <c:pt idx="78">
                  <c:v>186.02</c:v>
                </c:pt>
                <c:pt idx="79">
                  <c:v>186.02</c:v>
                </c:pt>
                <c:pt idx="80">
                  <c:v>188.68</c:v>
                </c:pt>
                <c:pt idx="81">
                  <c:v>191.46</c:v>
                </c:pt>
                <c:pt idx="82">
                  <c:v>195.44</c:v>
                </c:pt>
                <c:pt idx="83">
                  <c:v>195.44</c:v>
                </c:pt>
                <c:pt idx="84">
                  <c:v>197.3</c:v>
                </c:pt>
                <c:pt idx="85">
                  <c:v>197.3</c:v>
                </c:pt>
                <c:pt idx="86">
                  <c:v>197.3</c:v>
                </c:pt>
                <c:pt idx="87">
                  <c:v>197.3</c:v>
                </c:pt>
                <c:pt idx="88">
                  <c:v>197.3</c:v>
                </c:pt>
                <c:pt idx="89">
                  <c:v>197.3</c:v>
                </c:pt>
                <c:pt idx="90">
                  <c:v>197.3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'peer-popm3.csv'!$C$1</c:f>
              <c:strCache>
                <c:ptCount val="1"/>
                <c:pt idx="0">
                  <c:v>peer-similarity strategy</c:v>
                </c:pt>
              </c:strCache>
            </c:strRef>
          </c:tx>
          <c:spPr>
            <a:ln>
              <a:noFill/>
            </a:ln>
          </c:spPr>
          <c:marker>
            <c:symbol val="dot"/>
            <c:size val="5"/>
            <c:spPr>
              <a:noFill/>
            </c:spPr>
          </c:marker>
          <c:val>
            <c:numRef>
              <c:f>'peer-popm3.csv'!$C$2:$C$94</c:f>
              <c:numCache>
                <c:formatCode>General</c:formatCode>
                <c:ptCount val="93"/>
                <c:pt idx="0">
                  <c:v>2.34</c:v>
                </c:pt>
                <c:pt idx="1">
                  <c:v>6.64</c:v>
                </c:pt>
                <c:pt idx="2">
                  <c:v>13.34</c:v>
                </c:pt>
                <c:pt idx="3">
                  <c:v>20.64</c:v>
                </c:pt>
                <c:pt idx="4">
                  <c:v>28.14</c:v>
                </c:pt>
                <c:pt idx="5">
                  <c:v>35.64</c:v>
                </c:pt>
                <c:pt idx="6">
                  <c:v>43.14</c:v>
                </c:pt>
                <c:pt idx="7">
                  <c:v>50.64</c:v>
                </c:pt>
                <c:pt idx="8">
                  <c:v>58.14</c:v>
                </c:pt>
                <c:pt idx="9">
                  <c:v>65.64</c:v>
                </c:pt>
                <c:pt idx="10">
                  <c:v>73.14</c:v>
                </c:pt>
                <c:pt idx="11">
                  <c:v>80.64</c:v>
                </c:pt>
                <c:pt idx="12">
                  <c:v>88.06</c:v>
                </c:pt>
                <c:pt idx="13">
                  <c:v>95.28</c:v>
                </c:pt>
                <c:pt idx="14">
                  <c:v>102.26</c:v>
                </c:pt>
                <c:pt idx="15">
                  <c:v>108.84</c:v>
                </c:pt>
                <c:pt idx="16">
                  <c:v>115.74</c:v>
                </c:pt>
                <c:pt idx="17">
                  <c:v>122.88</c:v>
                </c:pt>
                <c:pt idx="18">
                  <c:v>129.78</c:v>
                </c:pt>
                <c:pt idx="19">
                  <c:v>136.72</c:v>
                </c:pt>
                <c:pt idx="20">
                  <c:v>143.94</c:v>
                </c:pt>
                <c:pt idx="21">
                  <c:v>150.12</c:v>
                </c:pt>
                <c:pt idx="22">
                  <c:v>157.1</c:v>
                </c:pt>
                <c:pt idx="23">
                  <c:v>163.92</c:v>
                </c:pt>
                <c:pt idx="24">
                  <c:v>170.7</c:v>
                </c:pt>
                <c:pt idx="25">
                  <c:v>177.52</c:v>
                </c:pt>
                <c:pt idx="26">
                  <c:v>183.82</c:v>
                </c:pt>
                <c:pt idx="27">
                  <c:v>190.56</c:v>
                </c:pt>
                <c:pt idx="28">
                  <c:v>196.58</c:v>
                </c:pt>
                <c:pt idx="29">
                  <c:v>202.88</c:v>
                </c:pt>
                <c:pt idx="30">
                  <c:v>208.62</c:v>
                </c:pt>
                <c:pt idx="31">
                  <c:v>215.12</c:v>
                </c:pt>
                <c:pt idx="32">
                  <c:v>220.86</c:v>
                </c:pt>
                <c:pt idx="33">
                  <c:v>225.64</c:v>
                </c:pt>
                <c:pt idx="34">
                  <c:v>231.46</c:v>
                </c:pt>
                <c:pt idx="35">
                  <c:v>236.68</c:v>
                </c:pt>
                <c:pt idx="36">
                  <c:v>242.34</c:v>
                </c:pt>
                <c:pt idx="37">
                  <c:v>247.72</c:v>
                </c:pt>
                <c:pt idx="38">
                  <c:v>253.06</c:v>
                </c:pt>
                <c:pt idx="39">
                  <c:v>257.68</c:v>
                </c:pt>
                <c:pt idx="40">
                  <c:v>261.02</c:v>
                </c:pt>
                <c:pt idx="41">
                  <c:v>264.48</c:v>
                </c:pt>
                <c:pt idx="42">
                  <c:v>268.06</c:v>
                </c:pt>
                <c:pt idx="43">
                  <c:v>271.24</c:v>
                </c:pt>
                <c:pt idx="44">
                  <c:v>274.1</c:v>
                </c:pt>
                <c:pt idx="45">
                  <c:v>275.48</c:v>
                </c:pt>
                <c:pt idx="46">
                  <c:v>275.02</c:v>
                </c:pt>
                <c:pt idx="47">
                  <c:v>274.68</c:v>
                </c:pt>
                <c:pt idx="48">
                  <c:v>273.14</c:v>
                </c:pt>
                <c:pt idx="49">
                  <c:v>270.92</c:v>
                </c:pt>
                <c:pt idx="50">
                  <c:v>269.7</c:v>
                </c:pt>
                <c:pt idx="51">
                  <c:v>267.88</c:v>
                </c:pt>
                <c:pt idx="52">
                  <c:v>266.18</c:v>
                </c:pt>
                <c:pt idx="53">
                  <c:v>264.84</c:v>
                </c:pt>
                <c:pt idx="54">
                  <c:v>262.5</c:v>
                </c:pt>
                <c:pt idx="55">
                  <c:v>260.0</c:v>
                </c:pt>
                <c:pt idx="56">
                  <c:v>257.5</c:v>
                </c:pt>
                <c:pt idx="57">
                  <c:v>255.0</c:v>
                </c:pt>
                <c:pt idx="58">
                  <c:v>252.5</c:v>
                </c:pt>
                <c:pt idx="59">
                  <c:v>250.0</c:v>
                </c:pt>
                <c:pt idx="60">
                  <c:v>247.5</c:v>
                </c:pt>
                <c:pt idx="61">
                  <c:v>245.0</c:v>
                </c:pt>
                <c:pt idx="62">
                  <c:v>242.5</c:v>
                </c:pt>
                <c:pt idx="63">
                  <c:v>240.0</c:v>
                </c:pt>
                <c:pt idx="64">
                  <c:v>237.5</c:v>
                </c:pt>
                <c:pt idx="65">
                  <c:v>235.0</c:v>
                </c:pt>
                <c:pt idx="66">
                  <c:v>232.5</c:v>
                </c:pt>
                <c:pt idx="67">
                  <c:v>230.0</c:v>
                </c:pt>
                <c:pt idx="68">
                  <c:v>230.0</c:v>
                </c:pt>
                <c:pt idx="69">
                  <c:v>227.5</c:v>
                </c:pt>
                <c:pt idx="70">
                  <c:v>227.5</c:v>
                </c:pt>
                <c:pt idx="71">
                  <c:v>225.0</c:v>
                </c:pt>
                <c:pt idx="72">
                  <c:v>222.5</c:v>
                </c:pt>
                <c:pt idx="73">
                  <c:v>220.0</c:v>
                </c:pt>
                <c:pt idx="74">
                  <c:v>220.0</c:v>
                </c:pt>
                <c:pt idx="75">
                  <c:v>220.0</c:v>
                </c:pt>
                <c:pt idx="76">
                  <c:v>217.5</c:v>
                </c:pt>
                <c:pt idx="77">
                  <c:v>215.0</c:v>
                </c:pt>
                <c:pt idx="78">
                  <c:v>212.5</c:v>
                </c:pt>
                <c:pt idx="79">
                  <c:v>210.0</c:v>
                </c:pt>
                <c:pt idx="80">
                  <c:v>210.0</c:v>
                </c:pt>
                <c:pt idx="81">
                  <c:v>207.5</c:v>
                </c:pt>
                <c:pt idx="82">
                  <c:v>205.0</c:v>
                </c:pt>
                <c:pt idx="83">
                  <c:v>202.5</c:v>
                </c:pt>
                <c:pt idx="84">
                  <c:v>202.5</c:v>
                </c:pt>
                <c:pt idx="85">
                  <c:v>202.5</c:v>
                </c:pt>
                <c:pt idx="86">
                  <c:v>202.5</c:v>
                </c:pt>
                <c:pt idx="87">
                  <c:v>202.5</c:v>
                </c:pt>
                <c:pt idx="88">
                  <c:v>202.5</c:v>
                </c:pt>
                <c:pt idx="89">
                  <c:v>202.5</c:v>
                </c:pt>
                <c:pt idx="90">
                  <c:v>202.5</c:v>
                </c:pt>
                <c:pt idx="91">
                  <c:v>202.5</c:v>
                </c:pt>
                <c:pt idx="92">
                  <c:v>202.5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'peer-popm3.csv'!$D$1</c:f>
              <c:strCache>
                <c:ptCount val="1"/>
                <c:pt idx="0">
                  <c:v>Best Case Strategy</c:v>
                </c:pt>
              </c:strCache>
            </c:strRef>
          </c:tx>
          <c:spPr>
            <a:ln>
              <a:noFill/>
            </a:ln>
          </c:spPr>
          <c:marker>
            <c:symbol val="square"/>
            <c:size val="5"/>
            <c:spPr>
              <a:noFill/>
            </c:spPr>
          </c:marker>
          <c:val>
            <c:numRef>
              <c:f>'peer-popm3.csv'!$D$2:$D$94</c:f>
              <c:numCache>
                <c:formatCode>General</c:formatCode>
                <c:ptCount val="93"/>
                <c:pt idx="0">
                  <c:v>7.5</c:v>
                </c:pt>
                <c:pt idx="1">
                  <c:v>15.0</c:v>
                </c:pt>
                <c:pt idx="2">
                  <c:v>22.5</c:v>
                </c:pt>
                <c:pt idx="3">
                  <c:v>30.0</c:v>
                </c:pt>
                <c:pt idx="4">
                  <c:v>37.5</c:v>
                </c:pt>
                <c:pt idx="5">
                  <c:v>45.0</c:v>
                </c:pt>
                <c:pt idx="6">
                  <c:v>52.5</c:v>
                </c:pt>
                <c:pt idx="7">
                  <c:v>60.0</c:v>
                </c:pt>
                <c:pt idx="8">
                  <c:v>67.5</c:v>
                </c:pt>
                <c:pt idx="9">
                  <c:v>75.0</c:v>
                </c:pt>
                <c:pt idx="10">
                  <c:v>82.5</c:v>
                </c:pt>
                <c:pt idx="11">
                  <c:v>90.0</c:v>
                </c:pt>
                <c:pt idx="12">
                  <c:v>97.5</c:v>
                </c:pt>
                <c:pt idx="13">
                  <c:v>105.0</c:v>
                </c:pt>
                <c:pt idx="14">
                  <c:v>112.5</c:v>
                </c:pt>
                <c:pt idx="15">
                  <c:v>120.0</c:v>
                </c:pt>
                <c:pt idx="16">
                  <c:v>127.5</c:v>
                </c:pt>
                <c:pt idx="17">
                  <c:v>135.0</c:v>
                </c:pt>
                <c:pt idx="18">
                  <c:v>142.5</c:v>
                </c:pt>
                <c:pt idx="19">
                  <c:v>150.0</c:v>
                </c:pt>
                <c:pt idx="20">
                  <c:v>157.5</c:v>
                </c:pt>
                <c:pt idx="21">
                  <c:v>165.0</c:v>
                </c:pt>
                <c:pt idx="22">
                  <c:v>172.5</c:v>
                </c:pt>
                <c:pt idx="23">
                  <c:v>180.0</c:v>
                </c:pt>
                <c:pt idx="24">
                  <c:v>187.5</c:v>
                </c:pt>
                <c:pt idx="25">
                  <c:v>195.0</c:v>
                </c:pt>
                <c:pt idx="26">
                  <c:v>202.5</c:v>
                </c:pt>
                <c:pt idx="27">
                  <c:v>210.0</c:v>
                </c:pt>
                <c:pt idx="28">
                  <c:v>217.5</c:v>
                </c:pt>
                <c:pt idx="29">
                  <c:v>225.0</c:v>
                </c:pt>
                <c:pt idx="30">
                  <c:v>232.5</c:v>
                </c:pt>
                <c:pt idx="31">
                  <c:v>240.0</c:v>
                </c:pt>
                <c:pt idx="32">
                  <c:v>247.5</c:v>
                </c:pt>
                <c:pt idx="33">
                  <c:v>255.0</c:v>
                </c:pt>
                <c:pt idx="34">
                  <c:v>262.5</c:v>
                </c:pt>
                <c:pt idx="35">
                  <c:v>270.0</c:v>
                </c:pt>
                <c:pt idx="36">
                  <c:v>277.5</c:v>
                </c:pt>
                <c:pt idx="37">
                  <c:v>285.0</c:v>
                </c:pt>
                <c:pt idx="38">
                  <c:v>292.5</c:v>
                </c:pt>
                <c:pt idx="39">
                  <c:v>300.0</c:v>
                </c:pt>
                <c:pt idx="40">
                  <c:v>297.5</c:v>
                </c:pt>
                <c:pt idx="41">
                  <c:v>295.0</c:v>
                </c:pt>
                <c:pt idx="42">
                  <c:v>292.5</c:v>
                </c:pt>
                <c:pt idx="43">
                  <c:v>290.0</c:v>
                </c:pt>
                <c:pt idx="44">
                  <c:v>287.5</c:v>
                </c:pt>
                <c:pt idx="45">
                  <c:v>285.0</c:v>
                </c:pt>
                <c:pt idx="46">
                  <c:v>282.5</c:v>
                </c:pt>
                <c:pt idx="47">
                  <c:v>280.0</c:v>
                </c:pt>
                <c:pt idx="48">
                  <c:v>277.5</c:v>
                </c:pt>
                <c:pt idx="49">
                  <c:v>275.0</c:v>
                </c:pt>
                <c:pt idx="50">
                  <c:v>272.5</c:v>
                </c:pt>
                <c:pt idx="51">
                  <c:v>270.0</c:v>
                </c:pt>
                <c:pt idx="52">
                  <c:v>267.5</c:v>
                </c:pt>
                <c:pt idx="53">
                  <c:v>265.0</c:v>
                </c:pt>
                <c:pt idx="54">
                  <c:v>262.5</c:v>
                </c:pt>
                <c:pt idx="55">
                  <c:v>260.0</c:v>
                </c:pt>
                <c:pt idx="56">
                  <c:v>257.5</c:v>
                </c:pt>
                <c:pt idx="57">
                  <c:v>255.0</c:v>
                </c:pt>
                <c:pt idx="58">
                  <c:v>252.5</c:v>
                </c:pt>
                <c:pt idx="59">
                  <c:v>250.0</c:v>
                </c:pt>
                <c:pt idx="60">
                  <c:v>247.5</c:v>
                </c:pt>
                <c:pt idx="61">
                  <c:v>245.0</c:v>
                </c:pt>
                <c:pt idx="62">
                  <c:v>242.5</c:v>
                </c:pt>
                <c:pt idx="63">
                  <c:v>240.0</c:v>
                </c:pt>
                <c:pt idx="64">
                  <c:v>237.5</c:v>
                </c:pt>
                <c:pt idx="65">
                  <c:v>235.0</c:v>
                </c:pt>
                <c:pt idx="66">
                  <c:v>232.5</c:v>
                </c:pt>
                <c:pt idx="67">
                  <c:v>230.0</c:v>
                </c:pt>
                <c:pt idx="68">
                  <c:v>227.5</c:v>
                </c:pt>
                <c:pt idx="69">
                  <c:v>225.0</c:v>
                </c:pt>
                <c:pt idx="70">
                  <c:v>222.5</c:v>
                </c:pt>
                <c:pt idx="71">
                  <c:v>220.0</c:v>
                </c:pt>
                <c:pt idx="72">
                  <c:v>217.5</c:v>
                </c:pt>
                <c:pt idx="73">
                  <c:v>215.0</c:v>
                </c:pt>
                <c:pt idx="74">
                  <c:v>212.5</c:v>
                </c:pt>
                <c:pt idx="75">
                  <c:v>210.0</c:v>
                </c:pt>
                <c:pt idx="76">
                  <c:v>207.5</c:v>
                </c:pt>
                <c:pt idx="77">
                  <c:v>205.0</c:v>
                </c:pt>
                <c:pt idx="78">
                  <c:v>202.5</c:v>
                </c:pt>
                <c:pt idx="79">
                  <c:v>200.0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'peer-popm3.csv'!$E$1</c:f>
              <c:strCache>
                <c:ptCount val="1"/>
                <c:pt idx="0">
                  <c:v>Worst Case Strategy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</c:spPr>
          </c:marker>
          <c:val>
            <c:numRef>
              <c:f>'peer-popm3.csv'!$E$2:$E$94</c:f>
              <c:numCache>
                <c:formatCode>General</c:formatCode>
                <c:ptCount val="93"/>
                <c:pt idx="0">
                  <c:v>-2.5</c:v>
                </c:pt>
                <c:pt idx="1">
                  <c:v>-5.0</c:v>
                </c:pt>
                <c:pt idx="2">
                  <c:v>-7.5</c:v>
                </c:pt>
                <c:pt idx="3">
                  <c:v>-10.0</c:v>
                </c:pt>
                <c:pt idx="4">
                  <c:v>-12.5</c:v>
                </c:pt>
                <c:pt idx="5">
                  <c:v>-15.0</c:v>
                </c:pt>
                <c:pt idx="6">
                  <c:v>-17.5</c:v>
                </c:pt>
                <c:pt idx="7">
                  <c:v>-20.0</c:v>
                </c:pt>
                <c:pt idx="8">
                  <c:v>-22.5</c:v>
                </c:pt>
                <c:pt idx="9">
                  <c:v>-25.0</c:v>
                </c:pt>
                <c:pt idx="10">
                  <c:v>-27.5</c:v>
                </c:pt>
                <c:pt idx="11">
                  <c:v>-30.0</c:v>
                </c:pt>
                <c:pt idx="12">
                  <c:v>-32.5</c:v>
                </c:pt>
                <c:pt idx="13">
                  <c:v>-35.0</c:v>
                </c:pt>
                <c:pt idx="14">
                  <c:v>-37.5</c:v>
                </c:pt>
                <c:pt idx="15">
                  <c:v>-40.0</c:v>
                </c:pt>
                <c:pt idx="16">
                  <c:v>-42.5</c:v>
                </c:pt>
                <c:pt idx="17">
                  <c:v>-45.0</c:v>
                </c:pt>
                <c:pt idx="18">
                  <c:v>-47.5</c:v>
                </c:pt>
                <c:pt idx="19">
                  <c:v>-50.0</c:v>
                </c:pt>
                <c:pt idx="20">
                  <c:v>-52.5</c:v>
                </c:pt>
                <c:pt idx="21">
                  <c:v>-55.0</c:v>
                </c:pt>
                <c:pt idx="22">
                  <c:v>-57.5</c:v>
                </c:pt>
                <c:pt idx="23">
                  <c:v>-60.0</c:v>
                </c:pt>
                <c:pt idx="24">
                  <c:v>-62.5</c:v>
                </c:pt>
                <c:pt idx="25">
                  <c:v>-65.0</c:v>
                </c:pt>
                <c:pt idx="26">
                  <c:v>-67.5</c:v>
                </c:pt>
                <c:pt idx="27">
                  <c:v>-70.0</c:v>
                </c:pt>
                <c:pt idx="28">
                  <c:v>-72.5</c:v>
                </c:pt>
                <c:pt idx="29">
                  <c:v>-75.0</c:v>
                </c:pt>
                <c:pt idx="30">
                  <c:v>-77.5</c:v>
                </c:pt>
                <c:pt idx="31">
                  <c:v>-80.0</c:v>
                </c:pt>
                <c:pt idx="32">
                  <c:v>-82.5</c:v>
                </c:pt>
                <c:pt idx="33">
                  <c:v>-85.0</c:v>
                </c:pt>
                <c:pt idx="34">
                  <c:v>-87.5</c:v>
                </c:pt>
                <c:pt idx="35">
                  <c:v>-90.0</c:v>
                </c:pt>
                <c:pt idx="36">
                  <c:v>-92.5</c:v>
                </c:pt>
                <c:pt idx="37">
                  <c:v>-95.0</c:v>
                </c:pt>
                <c:pt idx="38">
                  <c:v>-97.5</c:v>
                </c:pt>
                <c:pt idx="39">
                  <c:v>-100.0</c:v>
                </c:pt>
                <c:pt idx="40">
                  <c:v>-92.5</c:v>
                </c:pt>
                <c:pt idx="41">
                  <c:v>-85.0</c:v>
                </c:pt>
                <c:pt idx="42">
                  <c:v>-77.5</c:v>
                </c:pt>
                <c:pt idx="43">
                  <c:v>-70.0</c:v>
                </c:pt>
                <c:pt idx="44">
                  <c:v>-62.5</c:v>
                </c:pt>
                <c:pt idx="45">
                  <c:v>-55.0</c:v>
                </c:pt>
                <c:pt idx="46">
                  <c:v>-47.5</c:v>
                </c:pt>
                <c:pt idx="47">
                  <c:v>-40.0</c:v>
                </c:pt>
                <c:pt idx="48">
                  <c:v>-32.5</c:v>
                </c:pt>
                <c:pt idx="49">
                  <c:v>-25.0</c:v>
                </c:pt>
                <c:pt idx="50">
                  <c:v>-17.5</c:v>
                </c:pt>
                <c:pt idx="51">
                  <c:v>-10.0</c:v>
                </c:pt>
                <c:pt idx="52">
                  <c:v>-2.5</c:v>
                </c:pt>
                <c:pt idx="53">
                  <c:v>5.0</c:v>
                </c:pt>
                <c:pt idx="54">
                  <c:v>12.5</c:v>
                </c:pt>
                <c:pt idx="55">
                  <c:v>20.0</c:v>
                </c:pt>
                <c:pt idx="56">
                  <c:v>27.5</c:v>
                </c:pt>
                <c:pt idx="57">
                  <c:v>35.0</c:v>
                </c:pt>
                <c:pt idx="58">
                  <c:v>42.5</c:v>
                </c:pt>
                <c:pt idx="59">
                  <c:v>50.0</c:v>
                </c:pt>
                <c:pt idx="60">
                  <c:v>57.5</c:v>
                </c:pt>
                <c:pt idx="61">
                  <c:v>65.0</c:v>
                </c:pt>
                <c:pt idx="62">
                  <c:v>72.5</c:v>
                </c:pt>
                <c:pt idx="63">
                  <c:v>80.0</c:v>
                </c:pt>
                <c:pt idx="64">
                  <c:v>87.5</c:v>
                </c:pt>
                <c:pt idx="65">
                  <c:v>95.0</c:v>
                </c:pt>
                <c:pt idx="66">
                  <c:v>102.5</c:v>
                </c:pt>
                <c:pt idx="67">
                  <c:v>110.0</c:v>
                </c:pt>
                <c:pt idx="68">
                  <c:v>117.5</c:v>
                </c:pt>
                <c:pt idx="69">
                  <c:v>125.0</c:v>
                </c:pt>
                <c:pt idx="70">
                  <c:v>132.5</c:v>
                </c:pt>
                <c:pt idx="71">
                  <c:v>140.0</c:v>
                </c:pt>
                <c:pt idx="72">
                  <c:v>147.5</c:v>
                </c:pt>
                <c:pt idx="73">
                  <c:v>155.0</c:v>
                </c:pt>
                <c:pt idx="74">
                  <c:v>162.5</c:v>
                </c:pt>
                <c:pt idx="75">
                  <c:v>170.0</c:v>
                </c:pt>
                <c:pt idx="76">
                  <c:v>177.5</c:v>
                </c:pt>
                <c:pt idx="77">
                  <c:v>185.0</c:v>
                </c:pt>
                <c:pt idx="78">
                  <c:v>192.5</c:v>
                </c:pt>
                <c:pt idx="79">
                  <c:v>200.0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7948968"/>
        <c:axId val="2086774984"/>
      </c:lineChart>
      <c:catAx>
        <c:axId val="2077948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iterations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86774984"/>
        <c:crosses val="autoZero"/>
        <c:auto val="1"/>
        <c:lblAlgn val="ctr"/>
        <c:lblOffset val="100"/>
        <c:noMultiLvlLbl val="0"/>
      </c:catAx>
      <c:valAx>
        <c:axId val="208677498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Average</a:t>
                </a:r>
                <a:r>
                  <a:rPr lang="en-US" baseline="0"/>
                  <a:t> Accumulated Payoff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7948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596900</xdr:colOff>
      <xdr:row>16</xdr:row>
      <xdr:rowOff>0</xdr:rowOff>
    </xdr:from>
    <xdr:to>
      <xdr:col>18</xdr:col>
      <xdr:colOff>0</xdr:colOff>
      <xdr:row>42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4"/>
  <sheetViews>
    <sheetView tabSelected="1" workbookViewId="0">
      <selection activeCell="E1" sqref="B1:E1048576"/>
    </sheetView>
  </sheetViews>
  <sheetFormatPr baseColWidth="10" defaultRowHeight="15" x14ac:dyDescent="0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9">
      <c r="A2">
        <v>0</v>
      </c>
      <c r="B2">
        <v>1.94</v>
      </c>
      <c r="C2">
        <v>2.34</v>
      </c>
      <c r="D2">
        <f t="shared" ref="D2:D41" si="0">H2 * I2</f>
        <v>7.5</v>
      </c>
      <c r="E2">
        <f>H42*I42</f>
        <v>-2.5</v>
      </c>
      <c r="H2">
        <v>7.5</v>
      </c>
      <c r="I2">
        <v>1</v>
      </c>
    </row>
    <row r="3" spans="1:9">
      <c r="A3">
        <v>1</v>
      </c>
      <c r="B3">
        <v>4.24</v>
      </c>
      <c r="C3">
        <v>6.64</v>
      </c>
      <c r="D3">
        <f t="shared" si="0"/>
        <v>15</v>
      </c>
      <c r="E3">
        <f t="shared" ref="E3:E41" si="1">H43*I43</f>
        <v>-5</v>
      </c>
      <c r="H3">
        <v>7.5</v>
      </c>
      <c r="I3">
        <v>2</v>
      </c>
    </row>
    <row r="4" spans="1:9">
      <c r="A4">
        <v>2</v>
      </c>
      <c r="B4">
        <v>5.46</v>
      </c>
      <c r="C4">
        <v>13.34</v>
      </c>
      <c r="D4">
        <f t="shared" si="0"/>
        <v>22.5</v>
      </c>
      <c r="E4">
        <f t="shared" si="1"/>
        <v>-7.5</v>
      </c>
      <c r="H4">
        <v>7.5</v>
      </c>
      <c r="I4">
        <v>3</v>
      </c>
    </row>
    <row r="5" spans="1:9">
      <c r="A5">
        <v>3</v>
      </c>
      <c r="B5">
        <v>7.36</v>
      </c>
      <c r="C5">
        <v>20.64</v>
      </c>
      <c r="D5">
        <f t="shared" si="0"/>
        <v>30</v>
      </c>
      <c r="E5">
        <f t="shared" si="1"/>
        <v>-10</v>
      </c>
      <c r="H5">
        <v>7.5</v>
      </c>
      <c r="I5">
        <v>4</v>
      </c>
    </row>
    <row r="6" spans="1:9">
      <c r="A6">
        <v>4</v>
      </c>
      <c r="B6">
        <v>9.66</v>
      </c>
      <c r="C6">
        <v>28.14</v>
      </c>
      <c r="D6">
        <f t="shared" si="0"/>
        <v>37.5</v>
      </c>
      <c r="E6">
        <f t="shared" si="1"/>
        <v>-12.5</v>
      </c>
      <c r="H6">
        <v>7.5</v>
      </c>
      <c r="I6">
        <v>5</v>
      </c>
    </row>
    <row r="7" spans="1:9">
      <c r="A7">
        <v>5</v>
      </c>
      <c r="B7">
        <v>11.36</v>
      </c>
      <c r="C7">
        <v>35.64</v>
      </c>
      <c r="D7">
        <f t="shared" si="0"/>
        <v>45</v>
      </c>
      <c r="E7">
        <f t="shared" si="1"/>
        <v>-15</v>
      </c>
      <c r="H7">
        <v>7.5</v>
      </c>
      <c r="I7">
        <v>6</v>
      </c>
    </row>
    <row r="8" spans="1:9">
      <c r="A8">
        <v>6</v>
      </c>
      <c r="B8">
        <v>14.9</v>
      </c>
      <c r="C8">
        <v>43.14</v>
      </c>
      <c r="D8">
        <f t="shared" si="0"/>
        <v>52.5</v>
      </c>
      <c r="E8">
        <f t="shared" si="1"/>
        <v>-17.5</v>
      </c>
      <c r="H8">
        <v>7.5</v>
      </c>
      <c r="I8">
        <v>7</v>
      </c>
    </row>
    <row r="9" spans="1:9">
      <c r="A9">
        <v>7</v>
      </c>
      <c r="B9">
        <v>16.440000000000001</v>
      </c>
      <c r="C9">
        <v>50.64</v>
      </c>
      <c r="D9">
        <f t="shared" si="0"/>
        <v>60</v>
      </c>
      <c r="E9">
        <f t="shared" si="1"/>
        <v>-20</v>
      </c>
      <c r="H9">
        <v>7.5</v>
      </c>
      <c r="I9">
        <v>8</v>
      </c>
    </row>
    <row r="10" spans="1:9">
      <c r="A10">
        <v>8</v>
      </c>
      <c r="B10">
        <v>19.98</v>
      </c>
      <c r="C10">
        <v>58.14</v>
      </c>
      <c r="D10">
        <f t="shared" si="0"/>
        <v>67.5</v>
      </c>
      <c r="E10">
        <f t="shared" si="1"/>
        <v>-22.5</v>
      </c>
      <c r="H10">
        <v>7.5</v>
      </c>
      <c r="I10">
        <v>9</v>
      </c>
    </row>
    <row r="11" spans="1:9">
      <c r="A11">
        <v>9</v>
      </c>
      <c r="B11">
        <v>22.16</v>
      </c>
      <c r="C11">
        <v>65.64</v>
      </c>
      <c r="D11">
        <f t="shared" si="0"/>
        <v>75</v>
      </c>
      <c r="E11">
        <f t="shared" si="1"/>
        <v>-25</v>
      </c>
      <c r="H11">
        <v>7.5</v>
      </c>
      <c r="I11">
        <v>10</v>
      </c>
    </row>
    <row r="12" spans="1:9">
      <c r="A12">
        <v>10</v>
      </c>
      <c r="B12">
        <v>23.86</v>
      </c>
      <c r="C12">
        <v>73.14</v>
      </c>
      <c r="D12">
        <f t="shared" si="0"/>
        <v>82.5</v>
      </c>
      <c r="E12">
        <f t="shared" si="1"/>
        <v>-27.5</v>
      </c>
      <c r="H12">
        <v>7.5</v>
      </c>
      <c r="I12">
        <v>11</v>
      </c>
    </row>
    <row r="13" spans="1:9">
      <c r="A13">
        <v>11</v>
      </c>
      <c r="B13">
        <v>26</v>
      </c>
      <c r="C13">
        <v>80.64</v>
      </c>
      <c r="D13">
        <f t="shared" si="0"/>
        <v>90</v>
      </c>
      <c r="E13">
        <f t="shared" si="1"/>
        <v>-30</v>
      </c>
      <c r="H13">
        <v>7.5</v>
      </c>
      <c r="I13">
        <v>12</v>
      </c>
    </row>
    <row r="14" spans="1:9">
      <c r="A14">
        <v>12</v>
      </c>
      <c r="B14">
        <v>28.46</v>
      </c>
      <c r="C14">
        <v>88.06</v>
      </c>
      <c r="D14">
        <f t="shared" si="0"/>
        <v>97.5</v>
      </c>
      <c r="E14">
        <f t="shared" si="1"/>
        <v>-32.5</v>
      </c>
      <c r="H14">
        <v>7.5</v>
      </c>
      <c r="I14">
        <v>13</v>
      </c>
    </row>
    <row r="15" spans="1:9">
      <c r="A15">
        <v>13</v>
      </c>
      <c r="B15">
        <v>31.08</v>
      </c>
      <c r="C15">
        <v>95.28</v>
      </c>
      <c r="D15">
        <f t="shared" si="0"/>
        <v>105</v>
      </c>
      <c r="E15">
        <f t="shared" si="1"/>
        <v>-35</v>
      </c>
      <c r="H15">
        <v>7.5</v>
      </c>
      <c r="I15">
        <v>14</v>
      </c>
    </row>
    <row r="16" spans="1:9">
      <c r="A16">
        <v>14</v>
      </c>
      <c r="B16">
        <v>34.14</v>
      </c>
      <c r="C16">
        <v>102.26</v>
      </c>
      <c r="D16">
        <f t="shared" si="0"/>
        <v>112.5</v>
      </c>
      <c r="E16">
        <f t="shared" si="1"/>
        <v>-37.5</v>
      </c>
      <c r="H16">
        <v>7.5</v>
      </c>
      <c r="I16">
        <v>15</v>
      </c>
    </row>
    <row r="17" spans="1:9">
      <c r="A17">
        <v>15</v>
      </c>
      <c r="B17">
        <v>36.68</v>
      </c>
      <c r="C17">
        <v>108.84</v>
      </c>
      <c r="D17">
        <f t="shared" si="0"/>
        <v>120</v>
      </c>
      <c r="E17">
        <f t="shared" si="1"/>
        <v>-40</v>
      </c>
      <c r="H17">
        <v>7.5</v>
      </c>
      <c r="I17">
        <v>16</v>
      </c>
    </row>
    <row r="18" spans="1:9">
      <c r="A18">
        <v>16</v>
      </c>
      <c r="B18">
        <v>40.14</v>
      </c>
      <c r="C18">
        <v>115.74</v>
      </c>
      <c r="D18">
        <f t="shared" si="0"/>
        <v>127.5</v>
      </c>
      <c r="E18">
        <f t="shared" si="1"/>
        <v>-42.5</v>
      </c>
      <c r="H18">
        <v>7.5</v>
      </c>
      <c r="I18">
        <v>17</v>
      </c>
    </row>
    <row r="19" spans="1:9">
      <c r="A19">
        <v>17</v>
      </c>
      <c r="B19">
        <v>42.92</v>
      </c>
      <c r="C19">
        <v>122.88</v>
      </c>
      <c r="D19">
        <f t="shared" si="0"/>
        <v>135</v>
      </c>
      <c r="E19">
        <f t="shared" si="1"/>
        <v>-45</v>
      </c>
      <c r="H19">
        <v>7.5</v>
      </c>
      <c r="I19">
        <v>18</v>
      </c>
    </row>
    <row r="20" spans="1:9">
      <c r="A20">
        <v>18</v>
      </c>
      <c r="B20">
        <v>45.42</v>
      </c>
      <c r="C20">
        <v>129.78</v>
      </c>
      <c r="D20">
        <f t="shared" si="0"/>
        <v>142.5</v>
      </c>
      <c r="E20">
        <f t="shared" si="1"/>
        <v>-47.5</v>
      </c>
      <c r="H20">
        <v>7.5</v>
      </c>
      <c r="I20">
        <v>19</v>
      </c>
    </row>
    <row r="21" spans="1:9">
      <c r="A21">
        <v>19</v>
      </c>
      <c r="B21">
        <v>46.92</v>
      </c>
      <c r="C21">
        <v>136.72</v>
      </c>
      <c r="D21">
        <f t="shared" si="0"/>
        <v>150</v>
      </c>
      <c r="E21">
        <f t="shared" si="1"/>
        <v>-50</v>
      </c>
      <c r="H21">
        <v>7.5</v>
      </c>
      <c r="I21">
        <v>20</v>
      </c>
    </row>
    <row r="22" spans="1:9">
      <c r="A22">
        <v>20</v>
      </c>
      <c r="B22">
        <v>49.26</v>
      </c>
      <c r="C22">
        <v>143.94</v>
      </c>
      <c r="D22">
        <f t="shared" si="0"/>
        <v>157.5</v>
      </c>
      <c r="E22">
        <f t="shared" si="1"/>
        <v>-52.5</v>
      </c>
      <c r="H22">
        <v>7.5</v>
      </c>
      <c r="I22">
        <v>21</v>
      </c>
    </row>
    <row r="23" spans="1:9">
      <c r="A23">
        <v>21</v>
      </c>
      <c r="B23">
        <v>50.84</v>
      </c>
      <c r="C23">
        <v>150.12</v>
      </c>
      <c r="D23">
        <f t="shared" si="0"/>
        <v>165</v>
      </c>
      <c r="E23">
        <f t="shared" si="1"/>
        <v>-55</v>
      </c>
      <c r="H23">
        <v>7.5</v>
      </c>
      <c r="I23">
        <v>22</v>
      </c>
    </row>
    <row r="24" spans="1:9">
      <c r="A24">
        <v>22</v>
      </c>
      <c r="B24">
        <v>53.54</v>
      </c>
      <c r="C24">
        <v>157.1</v>
      </c>
      <c r="D24">
        <f t="shared" si="0"/>
        <v>172.5</v>
      </c>
      <c r="E24">
        <f t="shared" si="1"/>
        <v>-57.5</v>
      </c>
      <c r="H24">
        <v>7.5</v>
      </c>
      <c r="I24">
        <v>23</v>
      </c>
    </row>
    <row r="25" spans="1:9">
      <c r="A25">
        <v>23</v>
      </c>
      <c r="B25">
        <v>56.64</v>
      </c>
      <c r="C25">
        <v>163.92</v>
      </c>
      <c r="D25">
        <f t="shared" si="0"/>
        <v>180</v>
      </c>
      <c r="E25">
        <f t="shared" si="1"/>
        <v>-60</v>
      </c>
      <c r="H25">
        <v>7.5</v>
      </c>
      <c r="I25">
        <v>24</v>
      </c>
    </row>
    <row r="26" spans="1:9">
      <c r="A26">
        <v>24</v>
      </c>
      <c r="B26">
        <v>58.9</v>
      </c>
      <c r="C26">
        <v>170.7</v>
      </c>
      <c r="D26">
        <f t="shared" si="0"/>
        <v>187.5</v>
      </c>
      <c r="E26">
        <f t="shared" si="1"/>
        <v>-62.5</v>
      </c>
      <c r="H26">
        <v>7.5</v>
      </c>
      <c r="I26">
        <v>25</v>
      </c>
    </row>
    <row r="27" spans="1:9">
      <c r="A27">
        <v>25</v>
      </c>
      <c r="B27">
        <v>62.28</v>
      </c>
      <c r="C27">
        <v>177.52</v>
      </c>
      <c r="D27">
        <f t="shared" si="0"/>
        <v>195</v>
      </c>
      <c r="E27">
        <f t="shared" si="1"/>
        <v>-65</v>
      </c>
      <c r="H27">
        <v>7.5</v>
      </c>
      <c r="I27">
        <v>26</v>
      </c>
    </row>
    <row r="28" spans="1:9">
      <c r="A28">
        <v>26</v>
      </c>
      <c r="B28">
        <v>64.739999999999995</v>
      </c>
      <c r="C28">
        <v>183.82</v>
      </c>
      <c r="D28">
        <f t="shared" si="0"/>
        <v>202.5</v>
      </c>
      <c r="E28">
        <f t="shared" si="1"/>
        <v>-67.5</v>
      </c>
      <c r="H28">
        <v>7.5</v>
      </c>
      <c r="I28">
        <v>27</v>
      </c>
    </row>
    <row r="29" spans="1:9">
      <c r="A29">
        <v>27</v>
      </c>
      <c r="B29">
        <v>67.040000000000006</v>
      </c>
      <c r="C29">
        <v>190.56</v>
      </c>
      <c r="D29">
        <f t="shared" si="0"/>
        <v>210</v>
      </c>
      <c r="E29">
        <f t="shared" si="1"/>
        <v>-70</v>
      </c>
      <c r="H29">
        <v>7.5</v>
      </c>
      <c r="I29">
        <v>28</v>
      </c>
    </row>
    <row r="30" spans="1:9">
      <c r="A30">
        <v>28</v>
      </c>
      <c r="B30">
        <v>69.42</v>
      </c>
      <c r="C30">
        <v>196.58</v>
      </c>
      <c r="D30">
        <f t="shared" si="0"/>
        <v>217.5</v>
      </c>
      <c r="E30">
        <f t="shared" si="1"/>
        <v>-72.5</v>
      </c>
      <c r="H30">
        <v>7.5</v>
      </c>
      <c r="I30">
        <v>29</v>
      </c>
    </row>
    <row r="31" spans="1:9">
      <c r="A31">
        <v>29</v>
      </c>
      <c r="B31">
        <v>71.88</v>
      </c>
      <c r="C31">
        <v>202.88</v>
      </c>
      <c r="D31">
        <f t="shared" si="0"/>
        <v>225</v>
      </c>
      <c r="E31">
        <f t="shared" si="1"/>
        <v>-75</v>
      </c>
      <c r="H31">
        <v>7.5</v>
      </c>
      <c r="I31">
        <v>30</v>
      </c>
    </row>
    <row r="32" spans="1:9">
      <c r="A32">
        <v>30</v>
      </c>
      <c r="B32">
        <v>73.94</v>
      </c>
      <c r="C32">
        <v>208.62</v>
      </c>
      <c r="D32">
        <f t="shared" si="0"/>
        <v>232.5</v>
      </c>
      <c r="E32">
        <f t="shared" si="1"/>
        <v>-77.5</v>
      </c>
      <c r="H32">
        <v>7.5</v>
      </c>
      <c r="I32">
        <v>31</v>
      </c>
    </row>
    <row r="33" spans="1:9">
      <c r="A33">
        <v>31</v>
      </c>
      <c r="B33">
        <v>76.56</v>
      </c>
      <c r="C33">
        <v>215.12</v>
      </c>
      <c r="D33">
        <f t="shared" si="0"/>
        <v>240</v>
      </c>
      <c r="E33">
        <f t="shared" si="1"/>
        <v>-80</v>
      </c>
      <c r="H33">
        <v>7.5</v>
      </c>
      <c r="I33">
        <v>32</v>
      </c>
    </row>
    <row r="34" spans="1:9">
      <c r="A34">
        <v>32</v>
      </c>
      <c r="B34">
        <v>78.7</v>
      </c>
      <c r="C34">
        <v>220.86</v>
      </c>
      <c r="D34">
        <f t="shared" si="0"/>
        <v>247.5</v>
      </c>
      <c r="E34">
        <f t="shared" si="1"/>
        <v>-82.5</v>
      </c>
      <c r="H34">
        <v>7.5</v>
      </c>
      <c r="I34">
        <v>33</v>
      </c>
    </row>
    <row r="35" spans="1:9">
      <c r="A35">
        <v>33</v>
      </c>
      <c r="B35">
        <v>81.16</v>
      </c>
      <c r="C35">
        <v>225.64</v>
      </c>
      <c r="D35">
        <f t="shared" si="0"/>
        <v>255</v>
      </c>
      <c r="E35">
        <f>H75*I75</f>
        <v>-85</v>
      </c>
      <c r="H35">
        <v>7.5</v>
      </c>
      <c r="I35">
        <v>34</v>
      </c>
    </row>
    <row r="36" spans="1:9">
      <c r="A36">
        <v>34</v>
      </c>
      <c r="B36">
        <v>84.18</v>
      </c>
      <c r="C36">
        <v>231.46</v>
      </c>
      <c r="D36">
        <f t="shared" si="0"/>
        <v>262.5</v>
      </c>
      <c r="E36">
        <f t="shared" si="1"/>
        <v>-87.5</v>
      </c>
      <c r="H36">
        <v>7.5</v>
      </c>
      <c r="I36">
        <v>35</v>
      </c>
    </row>
    <row r="37" spans="1:9">
      <c r="A37">
        <v>35</v>
      </c>
      <c r="B37">
        <v>86.72</v>
      </c>
      <c r="C37">
        <v>236.68</v>
      </c>
      <c r="D37">
        <f t="shared" si="0"/>
        <v>270</v>
      </c>
      <c r="E37">
        <f t="shared" si="1"/>
        <v>-90</v>
      </c>
      <c r="H37">
        <v>7.5</v>
      </c>
      <c r="I37">
        <v>36</v>
      </c>
    </row>
    <row r="38" spans="1:9">
      <c r="A38">
        <v>36</v>
      </c>
      <c r="B38">
        <v>88.74</v>
      </c>
      <c r="C38">
        <v>242.34</v>
      </c>
      <c r="D38">
        <f t="shared" si="0"/>
        <v>277.5</v>
      </c>
      <c r="E38">
        <f t="shared" si="1"/>
        <v>-92.5</v>
      </c>
      <c r="H38">
        <v>7.5</v>
      </c>
      <c r="I38">
        <v>37</v>
      </c>
    </row>
    <row r="39" spans="1:9">
      <c r="A39">
        <v>37</v>
      </c>
      <c r="B39">
        <v>91.2</v>
      </c>
      <c r="C39">
        <v>247.72</v>
      </c>
      <c r="D39">
        <f t="shared" si="0"/>
        <v>285</v>
      </c>
      <c r="E39">
        <f t="shared" si="1"/>
        <v>-95</v>
      </c>
      <c r="H39">
        <v>7.5</v>
      </c>
      <c r="I39">
        <v>38</v>
      </c>
    </row>
    <row r="40" spans="1:9">
      <c r="A40">
        <v>38</v>
      </c>
      <c r="B40">
        <v>93.34</v>
      </c>
      <c r="C40">
        <v>253.06</v>
      </c>
      <c r="D40">
        <f t="shared" si="0"/>
        <v>292.5</v>
      </c>
      <c r="E40">
        <f t="shared" si="1"/>
        <v>-97.5</v>
      </c>
      <c r="H40">
        <v>7.5</v>
      </c>
      <c r="I40">
        <v>39</v>
      </c>
    </row>
    <row r="41" spans="1:9">
      <c r="A41">
        <v>39</v>
      </c>
      <c r="B41">
        <v>95.92</v>
      </c>
      <c r="C41">
        <v>257.68</v>
      </c>
      <c r="D41">
        <f t="shared" si="0"/>
        <v>300</v>
      </c>
      <c r="E41">
        <f t="shared" si="1"/>
        <v>-100</v>
      </c>
      <c r="H41">
        <v>7.5</v>
      </c>
      <c r="I41">
        <v>40</v>
      </c>
    </row>
    <row r="42" spans="1:9">
      <c r="A42">
        <v>40</v>
      </c>
      <c r="B42">
        <v>98.7</v>
      </c>
      <c r="C42">
        <v>261.02</v>
      </c>
      <c r="D42">
        <f t="shared" ref="D42:D81" si="2">300 +H42*I42</f>
        <v>297.5</v>
      </c>
      <c r="E42">
        <f xml:space="preserve"> -100 + H2*I2</f>
        <v>-92.5</v>
      </c>
      <c r="H42">
        <v>-2.5</v>
      </c>
      <c r="I42">
        <v>1</v>
      </c>
    </row>
    <row r="43" spans="1:9">
      <c r="A43">
        <v>41</v>
      </c>
      <c r="B43">
        <v>101.12</v>
      </c>
      <c r="C43">
        <v>264.48</v>
      </c>
      <c r="D43">
        <f t="shared" si="2"/>
        <v>295</v>
      </c>
      <c r="E43">
        <f t="shared" ref="E43:E81" si="3" xml:space="preserve"> -100 + H3*I3</f>
        <v>-85</v>
      </c>
      <c r="H43">
        <v>-2.5</v>
      </c>
      <c r="I43">
        <v>2</v>
      </c>
    </row>
    <row r="44" spans="1:9">
      <c r="A44">
        <v>42</v>
      </c>
      <c r="B44">
        <v>103.3</v>
      </c>
      <c r="C44">
        <v>268.06</v>
      </c>
      <c r="D44">
        <f t="shared" si="2"/>
        <v>292.5</v>
      </c>
      <c r="E44">
        <f t="shared" si="3"/>
        <v>-77.5</v>
      </c>
      <c r="H44">
        <v>-2.5</v>
      </c>
      <c r="I44">
        <v>3</v>
      </c>
    </row>
    <row r="45" spans="1:9">
      <c r="A45">
        <v>43</v>
      </c>
      <c r="B45">
        <v>105.84</v>
      </c>
      <c r="C45">
        <v>271.24</v>
      </c>
      <c r="D45">
        <f t="shared" si="2"/>
        <v>290</v>
      </c>
      <c r="E45">
        <f t="shared" si="3"/>
        <v>-70</v>
      </c>
      <c r="H45">
        <v>-2.5</v>
      </c>
      <c r="I45">
        <v>4</v>
      </c>
    </row>
    <row r="46" spans="1:9">
      <c r="A46">
        <v>44</v>
      </c>
      <c r="B46">
        <v>107.22</v>
      </c>
      <c r="C46">
        <v>274.10000000000002</v>
      </c>
      <c r="D46">
        <f t="shared" si="2"/>
        <v>287.5</v>
      </c>
      <c r="E46">
        <f t="shared" si="3"/>
        <v>-62.5</v>
      </c>
      <c r="H46">
        <v>-2.5</v>
      </c>
      <c r="I46">
        <v>5</v>
      </c>
    </row>
    <row r="47" spans="1:9">
      <c r="A47">
        <v>45</v>
      </c>
      <c r="B47">
        <v>109.84</v>
      </c>
      <c r="C47">
        <v>275.48</v>
      </c>
      <c r="D47">
        <f t="shared" si="2"/>
        <v>285</v>
      </c>
      <c r="E47">
        <f t="shared" si="3"/>
        <v>-55</v>
      </c>
      <c r="H47">
        <v>-2.5</v>
      </c>
      <c r="I47">
        <v>6</v>
      </c>
    </row>
    <row r="48" spans="1:9">
      <c r="A48">
        <v>46</v>
      </c>
      <c r="B48">
        <v>111.7</v>
      </c>
      <c r="C48">
        <v>275.02</v>
      </c>
      <c r="D48">
        <f t="shared" si="2"/>
        <v>282.5</v>
      </c>
      <c r="E48">
        <f t="shared" si="3"/>
        <v>-47.5</v>
      </c>
      <c r="H48">
        <v>-2.5</v>
      </c>
      <c r="I48">
        <v>7</v>
      </c>
    </row>
    <row r="49" spans="1:9">
      <c r="A49">
        <v>47</v>
      </c>
      <c r="B49">
        <v>114.72</v>
      </c>
      <c r="C49">
        <v>274.68</v>
      </c>
      <c r="D49">
        <f t="shared" si="2"/>
        <v>280</v>
      </c>
      <c r="E49">
        <f t="shared" si="3"/>
        <v>-40</v>
      </c>
      <c r="H49">
        <v>-2.5</v>
      </c>
      <c r="I49">
        <v>8</v>
      </c>
    </row>
    <row r="50" spans="1:9">
      <c r="A50">
        <v>48</v>
      </c>
      <c r="B50">
        <v>116.98</v>
      </c>
      <c r="C50">
        <v>273.14</v>
      </c>
      <c r="D50">
        <f t="shared" si="2"/>
        <v>277.5</v>
      </c>
      <c r="E50">
        <f t="shared" si="3"/>
        <v>-32.5</v>
      </c>
      <c r="H50">
        <v>-2.5</v>
      </c>
      <c r="I50">
        <v>9</v>
      </c>
    </row>
    <row r="51" spans="1:9">
      <c r="A51">
        <v>49</v>
      </c>
      <c r="B51">
        <v>119.56</v>
      </c>
      <c r="C51">
        <v>270.92</v>
      </c>
      <c r="D51">
        <f t="shared" si="2"/>
        <v>275</v>
      </c>
      <c r="E51">
        <f t="shared" si="3"/>
        <v>-25</v>
      </c>
      <c r="H51">
        <v>-2.5</v>
      </c>
      <c r="I51">
        <v>10</v>
      </c>
    </row>
    <row r="52" spans="1:9">
      <c r="A52">
        <v>50</v>
      </c>
      <c r="B52">
        <v>122.74</v>
      </c>
      <c r="C52">
        <v>269.7</v>
      </c>
      <c r="D52">
        <f t="shared" si="2"/>
        <v>272.5</v>
      </c>
      <c r="E52">
        <f t="shared" si="3"/>
        <v>-17.5</v>
      </c>
      <c r="H52">
        <v>-2.5</v>
      </c>
      <c r="I52">
        <v>11</v>
      </c>
    </row>
    <row r="53" spans="1:9">
      <c r="A53">
        <v>51</v>
      </c>
      <c r="B53">
        <v>125</v>
      </c>
      <c r="C53">
        <v>267.88</v>
      </c>
      <c r="D53">
        <f t="shared" si="2"/>
        <v>270</v>
      </c>
      <c r="E53">
        <f t="shared" si="3"/>
        <v>-10</v>
      </c>
      <c r="H53">
        <v>-2.5</v>
      </c>
      <c r="I53">
        <v>12</v>
      </c>
    </row>
    <row r="54" spans="1:9">
      <c r="A54">
        <v>52</v>
      </c>
      <c r="B54">
        <v>128.13999999999999</v>
      </c>
      <c r="C54">
        <v>266.18</v>
      </c>
      <c r="D54">
        <f t="shared" si="2"/>
        <v>267.5</v>
      </c>
      <c r="E54">
        <f t="shared" si="3"/>
        <v>-2.5</v>
      </c>
      <c r="H54">
        <v>-2.5</v>
      </c>
      <c r="I54">
        <v>13</v>
      </c>
    </row>
    <row r="55" spans="1:9">
      <c r="A55">
        <v>53</v>
      </c>
      <c r="B55">
        <v>131.28</v>
      </c>
      <c r="C55">
        <v>264.83999999999997</v>
      </c>
      <c r="D55">
        <f t="shared" si="2"/>
        <v>265</v>
      </c>
      <c r="E55">
        <f t="shared" si="3"/>
        <v>5</v>
      </c>
      <c r="H55">
        <v>-2.5</v>
      </c>
      <c r="I55">
        <v>14</v>
      </c>
    </row>
    <row r="56" spans="1:9">
      <c r="A56">
        <v>54</v>
      </c>
      <c r="B56">
        <v>134.46</v>
      </c>
      <c r="C56">
        <v>262.5</v>
      </c>
      <c r="D56">
        <f t="shared" si="2"/>
        <v>262.5</v>
      </c>
      <c r="E56">
        <f t="shared" si="3"/>
        <v>12.5</v>
      </c>
      <c r="H56">
        <v>-2.5</v>
      </c>
      <c r="I56">
        <v>15</v>
      </c>
    </row>
    <row r="57" spans="1:9">
      <c r="A57">
        <v>55</v>
      </c>
      <c r="B57">
        <v>136.80000000000001</v>
      </c>
      <c r="C57">
        <v>260</v>
      </c>
      <c r="D57">
        <f t="shared" si="2"/>
        <v>260</v>
      </c>
      <c r="E57">
        <f t="shared" si="3"/>
        <v>20</v>
      </c>
      <c r="H57">
        <v>-2.5</v>
      </c>
      <c r="I57">
        <v>16</v>
      </c>
    </row>
    <row r="58" spans="1:9">
      <c r="A58">
        <v>56</v>
      </c>
      <c r="B58">
        <v>139.02000000000001</v>
      </c>
      <c r="C58">
        <v>257.5</v>
      </c>
      <c r="D58">
        <f t="shared" si="2"/>
        <v>257.5</v>
      </c>
      <c r="E58">
        <f t="shared" si="3"/>
        <v>27.5</v>
      </c>
      <c r="H58">
        <v>-2.5</v>
      </c>
      <c r="I58">
        <v>17</v>
      </c>
    </row>
    <row r="59" spans="1:9">
      <c r="A59">
        <v>57</v>
      </c>
      <c r="B59">
        <v>140.91999999999999</v>
      </c>
      <c r="C59">
        <v>255</v>
      </c>
      <c r="D59">
        <f t="shared" si="2"/>
        <v>255</v>
      </c>
      <c r="E59">
        <f t="shared" si="3"/>
        <v>35</v>
      </c>
      <c r="H59">
        <v>-2.5</v>
      </c>
      <c r="I59">
        <v>18</v>
      </c>
    </row>
    <row r="60" spans="1:9">
      <c r="A60">
        <v>58</v>
      </c>
      <c r="B60">
        <v>143.54</v>
      </c>
      <c r="C60">
        <v>252.5</v>
      </c>
      <c r="D60">
        <f t="shared" si="2"/>
        <v>252.5</v>
      </c>
      <c r="E60">
        <f t="shared" si="3"/>
        <v>42.5</v>
      </c>
      <c r="H60">
        <v>-2.5</v>
      </c>
      <c r="I60">
        <v>19</v>
      </c>
    </row>
    <row r="61" spans="1:9">
      <c r="A61">
        <v>59</v>
      </c>
      <c r="B61">
        <v>146.47999999999999</v>
      </c>
      <c r="C61">
        <v>250</v>
      </c>
      <c r="D61">
        <f t="shared" si="2"/>
        <v>250</v>
      </c>
      <c r="E61">
        <f t="shared" si="3"/>
        <v>50</v>
      </c>
      <c r="H61">
        <v>-2.5</v>
      </c>
      <c r="I61">
        <v>20</v>
      </c>
    </row>
    <row r="62" spans="1:9">
      <c r="A62">
        <v>60</v>
      </c>
      <c r="B62">
        <v>148.26</v>
      </c>
      <c r="C62">
        <v>247.5</v>
      </c>
      <c r="D62">
        <f t="shared" si="2"/>
        <v>247.5</v>
      </c>
      <c r="E62">
        <f t="shared" si="3"/>
        <v>57.5</v>
      </c>
      <c r="H62">
        <v>-2.5</v>
      </c>
      <c r="I62">
        <v>21</v>
      </c>
    </row>
    <row r="63" spans="1:9">
      <c r="A63">
        <v>61</v>
      </c>
      <c r="B63">
        <v>151.28</v>
      </c>
      <c r="C63">
        <v>245</v>
      </c>
      <c r="D63">
        <f t="shared" si="2"/>
        <v>245</v>
      </c>
      <c r="E63">
        <f t="shared" si="3"/>
        <v>65</v>
      </c>
      <c r="H63">
        <v>-2.5</v>
      </c>
      <c r="I63">
        <v>22</v>
      </c>
    </row>
    <row r="64" spans="1:9">
      <c r="A64">
        <v>62</v>
      </c>
      <c r="B64">
        <v>151.28</v>
      </c>
      <c r="C64">
        <v>242.5</v>
      </c>
      <c r="D64">
        <f t="shared" si="2"/>
        <v>242.5</v>
      </c>
      <c r="E64">
        <f t="shared" si="3"/>
        <v>72.5</v>
      </c>
      <c r="H64">
        <v>-2.5</v>
      </c>
      <c r="I64">
        <v>23</v>
      </c>
    </row>
    <row r="65" spans="1:9">
      <c r="A65">
        <v>63</v>
      </c>
      <c r="B65">
        <v>154.62</v>
      </c>
      <c r="C65">
        <v>240</v>
      </c>
      <c r="D65">
        <f t="shared" si="2"/>
        <v>240</v>
      </c>
      <c r="E65">
        <f t="shared" si="3"/>
        <v>80</v>
      </c>
      <c r="H65">
        <v>-2.5</v>
      </c>
      <c r="I65">
        <v>24</v>
      </c>
    </row>
    <row r="66" spans="1:9">
      <c r="A66">
        <v>64</v>
      </c>
      <c r="B66">
        <v>156.72</v>
      </c>
      <c r="C66">
        <v>237.5</v>
      </c>
      <c r="D66">
        <f t="shared" si="2"/>
        <v>237.5</v>
      </c>
      <c r="E66">
        <f t="shared" si="3"/>
        <v>87.5</v>
      </c>
      <c r="H66">
        <v>-2.5</v>
      </c>
      <c r="I66">
        <v>25</v>
      </c>
    </row>
    <row r="67" spans="1:9">
      <c r="A67">
        <v>65</v>
      </c>
      <c r="B67">
        <v>159.34</v>
      </c>
      <c r="C67">
        <v>235</v>
      </c>
      <c r="D67">
        <f t="shared" si="2"/>
        <v>235</v>
      </c>
      <c r="E67">
        <f t="shared" si="3"/>
        <v>95</v>
      </c>
      <c r="H67">
        <v>-2.5</v>
      </c>
      <c r="I67">
        <v>26</v>
      </c>
    </row>
    <row r="68" spans="1:9">
      <c r="A68">
        <v>66</v>
      </c>
      <c r="B68">
        <v>159.34</v>
      </c>
      <c r="C68">
        <v>232.5</v>
      </c>
      <c r="D68">
        <f t="shared" si="2"/>
        <v>232.5</v>
      </c>
      <c r="E68">
        <f t="shared" si="3"/>
        <v>102.5</v>
      </c>
      <c r="H68">
        <v>-2.5</v>
      </c>
      <c r="I68">
        <v>27</v>
      </c>
    </row>
    <row r="69" spans="1:9">
      <c r="A69">
        <v>67</v>
      </c>
      <c r="B69">
        <v>162.19999999999999</v>
      </c>
      <c r="C69">
        <v>230</v>
      </c>
      <c r="D69">
        <f t="shared" si="2"/>
        <v>230</v>
      </c>
      <c r="E69">
        <f t="shared" si="3"/>
        <v>110</v>
      </c>
      <c r="H69">
        <v>-2.5</v>
      </c>
      <c r="I69">
        <v>28</v>
      </c>
    </row>
    <row r="70" spans="1:9">
      <c r="A70">
        <v>68</v>
      </c>
      <c r="B70">
        <v>165.38</v>
      </c>
      <c r="C70">
        <v>230</v>
      </c>
      <c r="D70">
        <f t="shared" si="2"/>
        <v>227.5</v>
      </c>
      <c r="E70">
        <f t="shared" si="3"/>
        <v>117.5</v>
      </c>
      <c r="H70">
        <v>-2.5</v>
      </c>
      <c r="I70">
        <v>29</v>
      </c>
    </row>
    <row r="71" spans="1:9">
      <c r="A71">
        <v>69</v>
      </c>
      <c r="B71">
        <v>168.32</v>
      </c>
      <c r="C71">
        <v>227.5</v>
      </c>
      <c r="D71">
        <f t="shared" si="2"/>
        <v>225</v>
      </c>
      <c r="E71">
        <f t="shared" si="3"/>
        <v>125</v>
      </c>
      <c r="H71">
        <v>-2.5</v>
      </c>
      <c r="I71">
        <v>30</v>
      </c>
    </row>
    <row r="72" spans="1:9">
      <c r="A72">
        <v>70</v>
      </c>
      <c r="B72">
        <v>170.06</v>
      </c>
      <c r="C72">
        <v>227.5</v>
      </c>
      <c r="D72">
        <f t="shared" si="2"/>
        <v>222.5</v>
      </c>
      <c r="E72">
        <f t="shared" si="3"/>
        <v>132.5</v>
      </c>
      <c r="H72">
        <v>-2.5</v>
      </c>
      <c r="I72">
        <v>31</v>
      </c>
    </row>
    <row r="73" spans="1:9">
      <c r="A73">
        <v>71</v>
      </c>
      <c r="B73">
        <v>172.76</v>
      </c>
      <c r="C73">
        <v>225</v>
      </c>
      <c r="D73">
        <f t="shared" si="2"/>
        <v>220</v>
      </c>
      <c r="E73">
        <f t="shared" si="3"/>
        <v>140</v>
      </c>
      <c r="H73">
        <v>-2.5</v>
      </c>
      <c r="I73">
        <v>32</v>
      </c>
    </row>
    <row r="74" spans="1:9">
      <c r="A74">
        <v>72</v>
      </c>
      <c r="B74">
        <v>175.3</v>
      </c>
      <c r="C74">
        <v>222.5</v>
      </c>
      <c r="D74">
        <f t="shared" si="2"/>
        <v>217.5</v>
      </c>
      <c r="E74">
        <f t="shared" si="3"/>
        <v>147.5</v>
      </c>
      <c r="H74">
        <v>-2.5</v>
      </c>
      <c r="I74">
        <v>33</v>
      </c>
    </row>
    <row r="75" spans="1:9">
      <c r="A75">
        <v>73</v>
      </c>
      <c r="B75">
        <v>178.12</v>
      </c>
      <c r="C75">
        <v>220</v>
      </c>
      <c r="D75">
        <f t="shared" si="2"/>
        <v>215</v>
      </c>
      <c r="E75">
        <f t="shared" si="3"/>
        <v>155</v>
      </c>
      <c r="H75">
        <v>-2.5</v>
      </c>
      <c r="I75">
        <v>34</v>
      </c>
    </row>
    <row r="76" spans="1:9">
      <c r="A76">
        <v>74</v>
      </c>
      <c r="B76">
        <v>181.02</v>
      </c>
      <c r="C76">
        <v>220</v>
      </c>
      <c r="D76">
        <f t="shared" si="2"/>
        <v>212.5</v>
      </c>
      <c r="E76">
        <f t="shared" si="3"/>
        <v>162.5</v>
      </c>
      <c r="H76">
        <v>-2.5</v>
      </c>
      <c r="I76">
        <v>35</v>
      </c>
    </row>
    <row r="77" spans="1:9">
      <c r="A77">
        <v>75</v>
      </c>
      <c r="B77">
        <v>183.4</v>
      </c>
      <c r="C77">
        <v>220</v>
      </c>
      <c r="D77">
        <f t="shared" si="2"/>
        <v>210</v>
      </c>
      <c r="E77">
        <f t="shared" si="3"/>
        <v>170</v>
      </c>
      <c r="H77">
        <v>-2.5</v>
      </c>
      <c r="I77">
        <v>36</v>
      </c>
    </row>
    <row r="78" spans="1:9">
      <c r="A78">
        <v>76</v>
      </c>
      <c r="B78">
        <v>186.02</v>
      </c>
      <c r="C78">
        <v>217.5</v>
      </c>
      <c r="D78">
        <f t="shared" si="2"/>
        <v>207.5</v>
      </c>
      <c r="E78">
        <f t="shared" si="3"/>
        <v>177.5</v>
      </c>
      <c r="H78">
        <v>-2.5</v>
      </c>
      <c r="I78">
        <v>37</v>
      </c>
    </row>
    <row r="79" spans="1:9">
      <c r="A79">
        <v>77</v>
      </c>
      <c r="B79">
        <v>186.02</v>
      </c>
      <c r="C79">
        <v>215</v>
      </c>
      <c r="D79">
        <f t="shared" si="2"/>
        <v>205</v>
      </c>
      <c r="E79">
        <f t="shared" si="3"/>
        <v>185</v>
      </c>
      <c r="H79">
        <v>-2.5</v>
      </c>
      <c r="I79">
        <v>38</v>
      </c>
    </row>
    <row r="80" spans="1:9">
      <c r="A80">
        <v>78</v>
      </c>
      <c r="B80">
        <v>186.02</v>
      </c>
      <c r="C80">
        <v>212.5</v>
      </c>
      <c r="D80">
        <f t="shared" si="2"/>
        <v>202.5</v>
      </c>
      <c r="E80">
        <f t="shared" si="3"/>
        <v>192.5</v>
      </c>
      <c r="H80">
        <v>-2.5</v>
      </c>
      <c r="I80">
        <v>39</v>
      </c>
    </row>
    <row r="81" spans="1:9">
      <c r="A81">
        <v>79</v>
      </c>
      <c r="B81">
        <v>186.02</v>
      </c>
      <c r="C81">
        <v>210</v>
      </c>
      <c r="D81">
        <f t="shared" si="2"/>
        <v>200</v>
      </c>
      <c r="E81">
        <f t="shared" si="3"/>
        <v>200</v>
      </c>
      <c r="H81">
        <v>-2.5</v>
      </c>
      <c r="I81">
        <v>40</v>
      </c>
    </row>
    <row r="82" spans="1:9">
      <c r="A82">
        <v>80</v>
      </c>
      <c r="B82">
        <v>188.68</v>
      </c>
      <c r="C82">
        <v>210</v>
      </c>
    </row>
    <row r="83" spans="1:9">
      <c r="A83">
        <v>81</v>
      </c>
      <c r="B83">
        <v>191.46</v>
      </c>
      <c r="C83">
        <v>207.5</v>
      </c>
    </row>
    <row r="84" spans="1:9">
      <c r="A84">
        <v>82</v>
      </c>
      <c r="B84">
        <v>195.44</v>
      </c>
      <c r="C84">
        <v>205</v>
      </c>
    </row>
    <row r="85" spans="1:9">
      <c r="A85">
        <v>83</v>
      </c>
      <c r="B85">
        <v>195.44</v>
      </c>
      <c r="C85">
        <v>202.5</v>
      </c>
    </row>
    <row r="86" spans="1:9">
      <c r="A86">
        <v>84</v>
      </c>
      <c r="B86">
        <v>197.3</v>
      </c>
      <c r="C86">
        <v>202.5</v>
      </c>
    </row>
    <row r="87" spans="1:9">
      <c r="A87">
        <v>85</v>
      </c>
      <c r="B87">
        <v>197.3</v>
      </c>
      <c r="C87">
        <v>202.5</v>
      </c>
    </row>
    <row r="88" spans="1:9">
      <c r="A88">
        <v>86</v>
      </c>
      <c r="B88">
        <v>197.3</v>
      </c>
      <c r="C88">
        <v>202.5</v>
      </c>
    </row>
    <row r="89" spans="1:9">
      <c r="A89">
        <v>87</v>
      </c>
      <c r="B89">
        <v>197.3</v>
      </c>
      <c r="C89">
        <v>202.5</v>
      </c>
    </row>
    <row r="90" spans="1:9">
      <c r="A90">
        <v>88</v>
      </c>
      <c r="B90">
        <v>197.3</v>
      </c>
      <c r="C90">
        <v>202.5</v>
      </c>
    </row>
    <row r="91" spans="1:9">
      <c r="A91">
        <v>89</v>
      </c>
      <c r="B91">
        <v>197.3</v>
      </c>
      <c r="C91">
        <v>202.5</v>
      </c>
    </row>
    <row r="92" spans="1:9">
      <c r="A92">
        <v>90</v>
      </c>
      <c r="B92">
        <v>197.3</v>
      </c>
      <c r="C92">
        <v>202.5</v>
      </c>
    </row>
    <row r="93" spans="1:9">
      <c r="C93">
        <v>202.5</v>
      </c>
    </row>
    <row r="94" spans="1:9">
      <c r="C94">
        <v>202.5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peer-popm3.csv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Reza Farid Amin</dc:creator>
  <cp:lastModifiedBy>Ali Reza Farid Amin</cp:lastModifiedBy>
  <dcterms:created xsi:type="dcterms:W3CDTF">2016-07-10T22:27:38Z</dcterms:created>
  <dcterms:modified xsi:type="dcterms:W3CDTF">2016-07-10T22:58:22Z</dcterms:modified>
</cp:coreProperties>
</file>